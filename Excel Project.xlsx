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rushnali\Downloads\"/>
    </mc:Choice>
  </mc:AlternateContent>
  <xr:revisionPtr revIDLastSave="0" documentId="13_ncr:1_{DB449843-D1A6-4FEC-BF84-F6B625006B7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4" r:id="rId2"/>
    <sheet name="Pivot_Table" sheetId="5" r:id="rId3"/>
    <sheet name="Dashboard" sheetId="2" r:id="rId4"/>
  </sheets>
  <definedNames>
    <definedName name="_xlnm._FilterDatabase" localSheetId="0" hidden="1">bike_buyers!$A$1:$M$1027</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<sst xmlns="http://schemas.openxmlformats.org/spreadsheetml/2006/main" count="16274" uniqueCount="51">
  <si>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</si>
  <si>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</si>
  <si>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</si>
  <si>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</si>
  <si>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</si>
  <si>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</si>
  <si>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</si>
  <si>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</si>
  <si>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</si>
  <si>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</si>
  <si>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</si>
  <si>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</si>
  <si>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</si>
  <si>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</si>
  <si>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</si>
  <si>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</si>
  <si>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</si>
  <si>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</si>
  <si>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</si>
  <si>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</si>
  <si>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</si>
  <si>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</si>
  <si>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</si>
  <si>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</si>
  <si>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</si>
  <si>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</si>
  <si>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</si>
  <si>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</si>
  <si>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</si>
  <si>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</si>
  <si>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</si>
  <si>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</si>
  <si>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</si>
  <si>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</si>
  <si>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</si>
  <si>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</si>
  <si>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</si>
  <si>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</si>
  <si>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</si>
  <si>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</si>
  <si>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</si>
  <si>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</si>
  <si>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</si>
  <si>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</si>
  <si>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</si>
  <si>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</si>
  <si>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</si>
  <si>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 0-30</t>
  </si>
  <si>
    <t>Middle Age 31-50</t>
  </si>
  <si>
    <t>Old 50+</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</si>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</sst>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5"/>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1" fontId="0" fillId="0" borderId="0" xfId="0" pivotButton="1" applyNumberFormat="1"/>
    <xf numFmtId="1"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4">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2" formatCode="0.00"/>
    </dxf>
    <dxf>
      <numFmt numFmtId="166" formatCode="0.00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6" formatCode="0.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45384.615384615383</c:v>
                </c:pt>
                <c:pt idx="1">
                  <c:v>45588.23529411765</c:v>
                </c:pt>
              </c:numCache>
            </c:numRef>
          </c:val>
          <c:extLst>
            <c:ext xmlns:c16="http://schemas.microsoft.com/office/drawing/2014/chart" uri="{C3380CC4-5D6E-409C-BE32-E72D297353CC}">
              <c16:uniqueId val="{00000000-6AA9-4B6E-B8CA-C1DDE23D3989}"/>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50526.315789473687</c:v>
                </c:pt>
                <c:pt idx="1">
                  <c:v>53714.285714285717</c:v>
                </c:pt>
              </c:numCache>
            </c:numRef>
          </c:val>
          <c:extLst>
            <c:ext xmlns:c16="http://schemas.microsoft.com/office/drawing/2014/chart" uri="{C3380CC4-5D6E-409C-BE32-E72D297353CC}">
              <c16:uniqueId val="{00000001-6AA9-4B6E-B8CA-C1DDE23D3989}"/>
            </c:ext>
          </c:extLst>
        </c:ser>
        <c:dLbls>
          <c:showLegendKey val="0"/>
          <c:showVal val="0"/>
          <c:showCatName val="0"/>
          <c:showSerName val="0"/>
          <c:showPercent val="0"/>
          <c:showBubbleSize val="0"/>
        </c:dLbls>
        <c:gapWidth val="219"/>
        <c:overlap val="-27"/>
        <c:axId val="1249025904"/>
        <c:axId val="1249026384"/>
      </c:barChart>
      <c:catAx>
        <c:axId val="124902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26384"/>
        <c:crosses val="autoZero"/>
        <c:auto val="1"/>
        <c:lblAlgn val="ctr"/>
        <c:lblOffset val="100"/>
        <c:noMultiLvlLbl val="0"/>
      </c:catAx>
      <c:valAx>
        <c:axId val="124902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25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7966101694915257"/>
          <c:y val="7.4845128054645368E-2"/>
          <c:w val="0.20338983050847459"/>
          <c:h val="0.22924864092843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BCB0-43F1-B4BE-9AEA09218AD1}"/>
            </c:ext>
          </c:extLst>
        </c:ser>
        <c:ser>
          <c:idx val="1"/>
          <c:order val="1"/>
          <c:tx>
            <c:strRef>
              <c:f>Pivot_Table!$C$22:$C$23</c:f>
              <c:strCache>
                <c:ptCount val="1"/>
                <c:pt idx="0">
                  <c:v>Yes</c:v>
                </c:pt>
              </c:strCache>
            </c:strRef>
          </c:tx>
          <c:spPr>
            <a:ln w="28575" cap="rnd">
              <a:solidFill>
                <a:schemeClr val="accent2"/>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BCB0-43F1-B4BE-9AEA09218AD1}"/>
            </c:ext>
          </c:extLst>
        </c:ser>
        <c:dLbls>
          <c:showLegendKey val="0"/>
          <c:showVal val="0"/>
          <c:showCatName val="0"/>
          <c:showSerName val="0"/>
          <c:showPercent val="0"/>
          <c:showBubbleSize val="0"/>
        </c:dLbls>
        <c:smooth val="0"/>
        <c:axId val="426441423"/>
        <c:axId val="426444783"/>
      </c:lineChart>
      <c:catAx>
        <c:axId val="42644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44783"/>
        <c:crosses val="autoZero"/>
        <c:auto val="1"/>
        <c:lblAlgn val="ctr"/>
        <c:lblOffset val="100"/>
        <c:noMultiLvlLbl val="0"/>
      </c:catAx>
      <c:valAx>
        <c:axId val="42644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 0-30</c:v>
                </c:pt>
                <c:pt idx="1">
                  <c:v>Middle Age 31-50</c:v>
                </c:pt>
                <c:pt idx="2">
                  <c:v>Old 50+</c:v>
                </c:pt>
              </c:strCache>
            </c:strRef>
          </c:cat>
          <c:val>
            <c:numRef>
              <c:f>Pivot_Table!$B$43:$B$46</c:f>
              <c:numCache>
                <c:formatCode>General</c:formatCode>
                <c:ptCount val="3"/>
                <c:pt idx="0">
                  <c:v>2</c:v>
                </c:pt>
                <c:pt idx="1">
                  <c:v>39</c:v>
                </c:pt>
                <c:pt idx="2">
                  <c:v>32</c:v>
                </c:pt>
              </c:numCache>
            </c:numRef>
          </c:val>
          <c:smooth val="0"/>
          <c:extLst>
            <c:ext xmlns:c16="http://schemas.microsoft.com/office/drawing/2014/chart" uri="{C3380CC4-5D6E-409C-BE32-E72D297353CC}">
              <c16:uniqueId val="{00000000-8F44-4B3C-8507-3D13FB6AB5F8}"/>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 0-30</c:v>
                </c:pt>
                <c:pt idx="1">
                  <c:v>Middle Age 31-50</c:v>
                </c:pt>
                <c:pt idx="2">
                  <c:v>Old 50+</c:v>
                </c:pt>
              </c:strCache>
            </c:strRef>
          </c:cat>
          <c:val>
            <c:numRef>
              <c:f>Pivot_Table!$C$43:$C$46</c:f>
              <c:numCache>
                <c:formatCode>General</c:formatCode>
                <c:ptCount val="3"/>
                <c:pt idx="0">
                  <c:v>1</c:v>
                </c:pt>
                <c:pt idx="1">
                  <c:v>55</c:v>
                </c:pt>
                <c:pt idx="2">
                  <c:v>17</c:v>
                </c:pt>
              </c:numCache>
            </c:numRef>
          </c:val>
          <c:smooth val="0"/>
          <c:extLst>
            <c:ext xmlns:c16="http://schemas.microsoft.com/office/drawing/2014/chart" uri="{C3380CC4-5D6E-409C-BE32-E72D297353CC}">
              <c16:uniqueId val="{00000001-8F44-4B3C-8507-3D13FB6AB5F8}"/>
            </c:ext>
          </c:extLst>
        </c:ser>
        <c:dLbls>
          <c:showLegendKey val="0"/>
          <c:showVal val="0"/>
          <c:showCatName val="0"/>
          <c:showSerName val="0"/>
          <c:showPercent val="0"/>
          <c:showBubbleSize val="0"/>
        </c:dLbls>
        <c:marker val="1"/>
        <c:smooth val="0"/>
        <c:axId val="456242655"/>
        <c:axId val="456243615"/>
      </c:lineChart>
      <c:catAx>
        <c:axId val="45624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243615"/>
        <c:crosses val="autoZero"/>
        <c:auto val="1"/>
        <c:lblAlgn val="ctr"/>
        <c:lblOffset val="100"/>
        <c:noMultiLvlLbl val="0"/>
      </c:catAx>
      <c:valAx>
        <c:axId val="45624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24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Pivot_Table!$A$61:$A$100</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Pivot_Table!$B$61:$B$100</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smooth val="0"/>
          <c:extLst>
            <c:ext xmlns:c16="http://schemas.microsoft.com/office/drawing/2014/chart" uri="{C3380CC4-5D6E-409C-BE32-E72D297353CC}">
              <c16:uniqueId val="{00000000-64B3-41D9-81F8-5A7049CC3673}"/>
            </c:ext>
          </c:extLst>
        </c:ser>
        <c:ser>
          <c:idx val="1"/>
          <c:order val="1"/>
          <c:tx>
            <c:strRef>
              <c:f>Pivot_Table!$C$59:$C$60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Pivot_Table!$A$61:$A$100</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Pivot_Table!$C$61:$C$100</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smooth val="0"/>
          <c:extLst>
            <c:ext xmlns:c16="http://schemas.microsoft.com/office/drawing/2014/chart" uri="{C3380CC4-5D6E-409C-BE32-E72D297353CC}">
              <c16:uniqueId val="{00000001-64B3-41D9-81F8-5A7049CC3673}"/>
            </c:ext>
          </c:extLst>
        </c:ser>
        <c:dLbls>
          <c:showLegendKey val="0"/>
          <c:showVal val="0"/>
          <c:showCatName val="0"/>
          <c:showSerName val="0"/>
          <c:showPercent val="0"/>
          <c:showBubbleSize val="0"/>
        </c:dLbls>
        <c:marker val="1"/>
        <c:smooth val="0"/>
        <c:axId val="555490767"/>
        <c:axId val="555479247"/>
      </c:lineChart>
      <c:catAx>
        <c:axId val="55549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79247"/>
        <c:crosses val="autoZero"/>
        <c:auto val="1"/>
        <c:lblAlgn val="ctr"/>
        <c:lblOffset val="100"/>
        <c:noMultiLvlLbl val="0"/>
      </c:catAx>
      <c:valAx>
        <c:axId val="55547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9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45384.615384615383</c:v>
                </c:pt>
                <c:pt idx="1">
                  <c:v>45588.23529411765</c:v>
                </c:pt>
              </c:numCache>
            </c:numRef>
          </c:val>
          <c:extLst>
            <c:ext xmlns:c16="http://schemas.microsoft.com/office/drawing/2014/chart" uri="{C3380CC4-5D6E-409C-BE32-E72D297353CC}">
              <c16:uniqueId val="{00000000-3CE3-40E0-8438-9DADD6757CB5}"/>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50526.315789473687</c:v>
                </c:pt>
                <c:pt idx="1">
                  <c:v>53714.285714285717</c:v>
                </c:pt>
              </c:numCache>
            </c:numRef>
          </c:val>
          <c:extLst>
            <c:ext xmlns:c16="http://schemas.microsoft.com/office/drawing/2014/chart" uri="{C3380CC4-5D6E-409C-BE32-E72D297353CC}">
              <c16:uniqueId val="{00000001-3CE3-40E0-8438-9DADD6757CB5}"/>
            </c:ext>
          </c:extLst>
        </c:ser>
        <c:dLbls>
          <c:showLegendKey val="0"/>
          <c:showVal val="0"/>
          <c:showCatName val="0"/>
          <c:showSerName val="0"/>
          <c:showPercent val="0"/>
          <c:showBubbleSize val="0"/>
        </c:dLbls>
        <c:gapWidth val="219"/>
        <c:overlap val="-27"/>
        <c:axId val="1249025904"/>
        <c:axId val="1249026384"/>
      </c:barChart>
      <c:catAx>
        <c:axId val="124902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26384"/>
        <c:crosses val="autoZero"/>
        <c:auto val="1"/>
        <c:lblAlgn val="ctr"/>
        <c:lblOffset val="100"/>
        <c:noMultiLvlLbl val="0"/>
      </c:catAx>
      <c:valAx>
        <c:axId val="124902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25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28108833897882"/>
          <c:y val="0.41368073402217742"/>
          <c:w val="0.20338983050847459"/>
          <c:h val="0.22924864092843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2492-4864-94D0-B09F953E56A8}"/>
            </c:ext>
          </c:extLst>
        </c:ser>
        <c:ser>
          <c:idx val="1"/>
          <c:order val="1"/>
          <c:tx>
            <c:strRef>
              <c:f>Pivot_Table!$C$22:$C$23</c:f>
              <c:strCache>
                <c:ptCount val="1"/>
                <c:pt idx="0">
                  <c:v>Yes</c:v>
                </c:pt>
              </c:strCache>
            </c:strRef>
          </c:tx>
          <c:spPr>
            <a:ln w="28575" cap="rnd">
              <a:solidFill>
                <a:schemeClr val="accent2"/>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2492-4864-94D0-B09F953E56A8}"/>
            </c:ext>
          </c:extLst>
        </c:ser>
        <c:dLbls>
          <c:showLegendKey val="0"/>
          <c:showVal val="0"/>
          <c:showCatName val="0"/>
          <c:showSerName val="0"/>
          <c:showPercent val="0"/>
          <c:showBubbleSize val="0"/>
        </c:dLbls>
        <c:smooth val="0"/>
        <c:axId val="426441423"/>
        <c:axId val="426444783"/>
      </c:lineChart>
      <c:catAx>
        <c:axId val="42644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44783"/>
        <c:crosses val="autoZero"/>
        <c:auto val="1"/>
        <c:lblAlgn val="ctr"/>
        <c:lblOffset val="100"/>
        <c:noMultiLvlLbl val="0"/>
      </c:catAx>
      <c:valAx>
        <c:axId val="426444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 0-30</c:v>
                </c:pt>
                <c:pt idx="1">
                  <c:v>Middle Age 31-50</c:v>
                </c:pt>
                <c:pt idx="2">
                  <c:v>Old 50+</c:v>
                </c:pt>
              </c:strCache>
            </c:strRef>
          </c:cat>
          <c:val>
            <c:numRef>
              <c:f>Pivot_Table!$B$43:$B$46</c:f>
              <c:numCache>
                <c:formatCode>General</c:formatCode>
                <c:ptCount val="3"/>
                <c:pt idx="0">
                  <c:v>2</c:v>
                </c:pt>
                <c:pt idx="1">
                  <c:v>39</c:v>
                </c:pt>
                <c:pt idx="2">
                  <c:v>32</c:v>
                </c:pt>
              </c:numCache>
            </c:numRef>
          </c:val>
          <c:smooth val="0"/>
          <c:extLst>
            <c:ext xmlns:c16="http://schemas.microsoft.com/office/drawing/2014/chart" uri="{C3380CC4-5D6E-409C-BE32-E72D297353CC}">
              <c16:uniqueId val="{00000000-406B-4688-BE60-2968D27CAD58}"/>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 0-30</c:v>
                </c:pt>
                <c:pt idx="1">
                  <c:v>Middle Age 31-50</c:v>
                </c:pt>
                <c:pt idx="2">
                  <c:v>Old 50+</c:v>
                </c:pt>
              </c:strCache>
            </c:strRef>
          </c:cat>
          <c:val>
            <c:numRef>
              <c:f>Pivot_Table!$C$43:$C$46</c:f>
              <c:numCache>
                <c:formatCode>General</c:formatCode>
                <c:ptCount val="3"/>
                <c:pt idx="0">
                  <c:v>1</c:v>
                </c:pt>
                <c:pt idx="1">
                  <c:v>55</c:v>
                </c:pt>
                <c:pt idx="2">
                  <c:v>17</c:v>
                </c:pt>
              </c:numCache>
            </c:numRef>
          </c:val>
          <c:smooth val="0"/>
          <c:extLst>
            <c:ext xmlns:c16="http://schemas.microsoft.com/office/drawing/2014/chart" uri="{C3380CC4-5D6E-409C-BE32-E72D297353CC}">
              <c16:uniqueId val="{00000001-406B-4688-BE60-2968D27CAD58}"/>
            </c:ext>
          </c:extLst>
        </c:ser>
        <c:dLbls>
          <c:showLegendKey val="0"/>
          <c:showVal val="0"/>
          <c:showCatName val="0"/>
          <c:showSerName val="0"/>
          <c:showPercent val="0"/>
          <c:showBubbleSize val="0"/>
        </c:dLbls>
        <c:marker val="1"/>
        <c:smooth val="0"/>
        <c:axId val="456242655"/>
        <c:axId val="456243615"/>
      </c:lineChart>
      <c:catAx>
        <c:axId val="45624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243615"/>
        <c:crosses val="autoZero"/>
        <c:auto val="1"/>
        <c:lblAlgn val="ctr"/>
        <c:lblOffset val="100"/>
        <c:noMultiLvlLbl val="0"/>
      </c:catAx>
      <c:valAx>
        <c:axId val="45624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24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525780</xdr:colOff>
      <xdr:row>1</xdr:row>
      <xdr:rowOff>106680</xdr:rowOff>
    </xdr:from>
    <xdr:to>
      <xdr:col>12</xdr:col>
      <xdr:colOff>144780</xdr:colOff>
      <xdr:row>16</xdr:row>
      <xdr:rowOff>38100</xdr:rowOff>
    </xdr:to>
    <xdr:graphicFrame macro="">
      <xdr:nvGraphicFramePr>
        <xdr:cNvPr id="2" name="Chart 1">
          <a:extLst>
            <a:ext uri="{FF2B5EF4-FFF2-40B4-BE49-F238E27FC236}">
              <a16:creationId xmlns:a16="http://schemas.microsoft.com/office/drawing/2014/main" id="{1AF428CA-D6CC-1DCD-E33E-D8748C737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480060</xdr:colOff>
      <xdr:row>19</xdr:row>
      <xdr:rowOff>83820</xdr:rowOff>
    </xdr:from>
    <xdr:to>
      <xdr:col>12</xdr:col>
      <xdr:colOff>175260</xdr:colOff>
      <xdr:row>34</xdr:row>
      <xdr:rowOff>83820</xdr:rowOff>
    </xdr:to>
    <xdr:graphicFrame macro="">
      <xdr:nvGraphicFramePr>
        <xdr:cNvPr id="3" name="Chart 2">
          <a:extLst>
            <a:ext uri="{FF2B5EF4-FFF2-40B4-BE49-F238E27FC236}">
              <a16:creationId xmlns:a16="http://schemas.microsoft.com/office/drawing/2014/main" id="{11A6107A-7DCE-EE0A-7112-0F0083042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37</xdr:row>
      <xdr:rowOff>175260</xdr:rowOff>
    </xdr:from>
    <xdr:to>
      <xdr:col>12</xdr:col>
      <xdr:colOff>91440</xdr:colOff>
      <xdr:row>52</xdr:row>
      <xdr:rowOff>175260</xdr:rowOff>
    </xdr:to>
    <xdr:graphicFrame macro="">
      <xdr:nvGraphicFramePr>
        <xdr:cNvPr id="4" name="Chart 3">
          <a:extLst>
            <a:ext uri="{FF2B5EF4-FFF2-40B4-BE49-F238E27FC236}">
              <a16:creationId xmlns:a16="http://schemas.microsoft.com/office/drawing/2014/main" id="{67945E77-11C8-6C1A-E009-8369AC993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510540</xdr:colOff>
      <xdr:row>57</xdr:row>
      <xdr:rowOff>163830</xdr:rowOff>
    </xdr:from>
    <xdr:to>
      <xdr:col>12</xdr:col>
      <xdr:colOff>205740</xdr:colOff>
      <xdr:row>72</xdr:row>
      <xdr:rowOff>163830</xdr:rowOff>
    </xdr:to>
    <xdr:graphicFrame macro="">
      <xdr:nvGraphicFramePr>
        <xdr:cNvPr id="5" name="Chart 4">
          <a:extLst>
            <a:ext uri="{FF2B5EF4-FFF2-40B4-BE49-F238E27FC236}">
              <a16:creationId xmlns:a16="http://schemas.microsoft.com/office/drawing/2014/main" id="{70409F62-41E8-40CD-804B-C75AC0683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481264</xdr:colOff>
      <xdr:row>5</xdr:row>
      <xdr:rowOff>14686</xdr:rowOff>
    </xdr:from>
    <xdr:to>
      <xdr:col>8</xdr:col>
      <xdr:colOff>581526</xdr:colOff>
      <xdr:row>19</xdr:row>
      <xdr:rowOff>70882</xdr:rowOff>
    </xdr:to>
    <xdr:graphicFrame macro="">
      <xdr:nvGraphicFramePr>
        <xdr:cNvPr id="2" name="Chart 1">
          <a:extLst>
            <a:ext uri="{FF2B5EF4-FFF2-40B4-BE49-F238E27FC236}">
              <a16:creationId xmlns:a16="http://schemas.microsoft.com/office/drawing/2014/main" id="{B9A61BCD-610B-4E0D-95F1-EB7B0BB0F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474734</xdr:colOff>
      <xdr:row>19</xdr:row>
      <xdr:rowOff>105626</xdr:rowOff>
    </xdr:from>
    <xdr:to>
      <xdr:col>14</xdr:col>
      <xdr:colOff>575930</xdr:colOff>
      <xdr:row>33</xdr:row>
      <xdr:rowOff>145733</xdr:rowOff>
    </xdr:to>
    <xdr:graphicFrame macro="">
      <xdr:nvGraphicFramePr>
        <xdr:cNvPr id="3" name="Chart 2">
          <a:extLst>
            <a:ext uri="{FF2B5EF4-FFF2-40B4-BE49-F238E27FC236}">
              <a16:creationId xmlns:a16="http://schemas.microsoft.com/office/drawing/2014/main" id="{411995DA-C63B-4F96-B197-2F6F780F3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10027</xdr:rowOff>
    </xdr:from>
    <xdr:to>
      <xdr:col>14</xdr:col>
      <xdr:colOff>584791</xdr:colOff>
      <xdr:row>19</xdr:row>
      <xdr:rowOff>70884</xdr:rowOff>
    </xdr:to>
    <xdr:graphicFrame macro="">
      <xdr:nvGraphicFramePr>
        <xdr:cNvPr id="4" name="Chart 3">
          <a:extLst>
            <a:ext uri="{FF2B5EF4-FFF2-40B4-BE49-F238E27FC236}">
              <a16:creationId xmlns:a16="http://schemas.microsoft.com/office/drawing/2014/main" id="{BC867AE9-022A-4B3E-8933-A6322B4C0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53162</xdr:colOff>
      <xdr:row>5</xdr:row>
      <xdr:rowOff>30481</xdr:rowOff>
    </xdr:from>
    <xdr:to>
      <xdr:col>2</xdr:col>
      <xdr:colOff>451883</xdr:colOff>
      <xdr:row>9</xdr:row>
      <xdr:rowOff>132908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990DFA2-C9B5-43B4-3BE3-01A376EEB76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162" y="942735"/>
              <a:ext cx="1622214" cy="832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28177</xdr:colOff>
      <xdr:row>16</xdr:row>
      <xdr:rowOff>142476</xdr:rowOff>
    </xdr:from>
    <xdr:to>
      <xdr:col>2</xdr:col>
      <xdr:colOff>425303</xdr:colOff>
      <xdr:row>25</xdr:row>
      <xdr:rowOff>132907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0CB57E9-2ADF-95E4-A777-02DB2CCEFDB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177" y="3061687"/>
              <a:ext cx="1620619" cy="1632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38632</xdr:colOff>
      <xdr:row>10</xdr:row>
      <xdr:rowOff>46607</xdr:rowOff>
    </xdr:from>
    <xdr:to>
      <xdr:col>2</xdr:col>
      <xdr:colOff>434164</xdr:colOff>
      <xdr:row>16</xdr:row>
      <xdr:rowOff>70885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A8788D7-824F-4AFB-9975-547BBEB9BA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632" y="1871114"/>
              <a:ext cx="1619025" cy="1118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shnali" refreshedDate="46182.579845601853" createdVersion="8" refreshedVersion="8" minRefreshableVersion="3" recordCount="1000" xr:uid="{6392FA73-A0DB-4822-9A98-B72A04B933E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31-50"/>
        <s v="Old 50+"/>
        <s v="Adolescent 0-30"/>
        <s v="Middle Age 31-54" u="1"/>
        <s v="Old 55+" u="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323916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0DDC94-84C3-4F6E-B3B0-0D5A48FF5CDD}"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9:D100"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0">
    <i>
      <x/>
    </i>
    <i>
      <x v="5"/>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5"/>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51438-7605-4E3F-808E-98D9476D114F}"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9">
        <item m="1" x="7"/>
        <item m="1" x="5"/>
        <item m="1" x="6"/>
        <item m="1" x="3"/>
        <item m="1" x="4"/>
        <item x="2"/>
        <item x="0"/>
        <item x="1"/>
        <item t="default"/>
      </items>
    </pivotField>
    <pivotField axis="axisCol" dataField="1" showAll="0">
      <items count="3">
        <item x="0"/>
        <item x="1"/>
        <item t="default"/>
      </items>
    </pivotField>
  </pivotFields>
  <rowFields count="1">
    <field x="12"/>
  </rowFields>
  <rowItems count="4">
    <i>
      <x v="5"/>
    </i>
    <i>
      <x v="6"/>
    </i>
    <i>
      <x v="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1E3044-B794-48D9-AF57-29D7FED61174}"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431EA-4CAB-418E-9F18-B55CAA13A4A4}"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8">
    <format dxfId="183">
      <pivotArea field="2" type="button" dataOnly="0" labelOnly="1" outline="0" axis="axisRow" fieldPosition="0"/>
    </format>
    <format dxfId="182">
      <pivotArea dataOnly="0" labelOnly="1" outline="0" axis="axisValues" fieldPosition="0"/>
    </format>
    <format dxfId="181">
      <pivotArea collapsedLevelsAreSubtotals="1" fieldPosition="0">
        <references count="2">
          <reference field="2" count="1">
            <x v="0"/>
          </reference>
          <reference field="13" count="1" selected="0">
            <x v="0"/>
          </reference>
        </references>
      </pivotArea>
    </format>
    <format dxfId="180">
      <pivotArea outline="0" collapsedLevelsAreSubtotals="1" fieldPosition="0"/>
    </format>
    <format dxfId="179">
      <pivotArea field="13" type="button" dataOnly="0" labelOnly="1" outline="0" axis="axisCol" fieldPosition="0"/>
    </format>
    <format dxfId="178">
      <pivotArea type="topRight" dataOnly="0" labelOnly="1" outline="0" fieldPosition="0"/>
    </format>
    <format dxfId="177">
      <pivotArea dataOnly="0" labelOnly="1" fieldPosition="0">
        <references count="1">
          <reference field="13" count="0"/>
        </references>
      </pivotArea>
    </format>
    <format dxfId="176">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D0D9F7-52C7-4645-A3CD-29DC97A6F4AB}" sourceName="Marital Status">
  <pivotTables>
    <pivotTable tabId="5" name="PivotTable1"/>
    <pivotTable tabId="5" name="PivotTable2"/>
    <pivotTable tabId="5" name="PivotTable3"/>
    <pivotTable tabId="5" name="PivotTable4"/>
  </pivotTables>
  <data>
    <tabular pivotCacheId="32391628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821EB04-83A5-41EF-856D-59EEE9F3D9E1}" sourceName="Education">
  <pivotTables>
    <pivotTable tabId="5" name="PivotTable1"/>
    <pivotTable tabId="5" name="PivotTable2"/>
    <pivotTable tabId="5" name="PivotTable3"/>
    <pivotTable tabId="5" name="PivotTable4"/>
  </pivotTables>
  <data>
    <tabular pivotCacheId="3239162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07BEA6-1C6D-4022-8A51-6B420029273F}" sourceName="Region">
  <pivotTables>
    <pivotTable tabId="5" name="PivotTable1"/>
    <pivotTable tabId="5" name="PivotTable2"/>
    <pivotTable tabId="5" name="PivotTable3"/>
    <pivotTable tabId="5" name="PivotTable4"/>
  </pivotTables>
  <data>
    <tabular pivotCacheId="32391628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F7AD1CD-B1AC-4058-8CEC-B49057DF6BB6}" cache="Slicer_Marital_Status" caption="Marital Status" rowHeight="234950"/>
  <slicer name="Education" xr10:uid="{1C29651B-7E07-4BDD-B638-725E6F38B58F}" cache="Slicer_Education" caption="Education" rowHeight="234950"/>
  <slicer name="Region" xr10:uid="{E3DCAA4A-904C-483A-AF50-E3ECA3ECA82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777" sqref="A1:XFD1048576"/>
    </sheetView>
  </sheetViews>
  <sheetFormatPr defaultColWidth="11.88671875" defaultRowHeight="14.4" x14ac:dyDescent="0.3"/>
  <cols>
    <col min="1" max="1" width="14.88671875" customWidth="1"/>
    <col min="4" max="4" width="11.88671875" style="2"/>
    <col min="13" max="13" width="15.44140625" customWidth="1"/>
  </cols>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row r="1002" spans="1:13" x14ac:dyDescent="0.3">
      <c r="A1002">
        <v>13507</v>
      </c>
      <c r="B1002" t="s">
        <v>34</v>
      </c>
      <c r="C1002" t="s">
        <v>33</v>
      </c>
      <c r="D1002" s="2">
        <v>10000</v>
      </c>
      <c r="E1002">
        <v>2</v>
      </c>
      <c r="F1002" t="s">
        <v>19</v>
      </c>
      <c r="G1002" t="s">
        <v>25</v>
      </c>
      <c r="H1002" t="s">
        <v>15</v>
      </c>
      <c r="I1002">
        <v>0</v>
      </c>
      <c r="J1002" t="s">
        <v>26</v>
      </c>
      <c r="K1002" t="s">
        <v>17</v>
      </c>
      <c r="L1002">
        <v>50</v>
      </c>
      <c r="M1002" t="s">
        <v>18</v>
      </c>
    </row>
    <row r="1003" spans="1:13" x14ac:dyDescent="0.3">
      <c r="A1003">
        <v>19280</v>
      </c>
      <c r="B1003" t="s">
        <v>34</v>
      </c>
      <c r="C1003" t="s">
        <v>34</v>
      </c>
      <c r="D1003" s="2">
        <v>120000</v>
      </c>
      <c r="E1003">
        <v>2</v>
      </c>
      <c r="F1003" t="s">
        <v>19</v>
      </c>
      <c r="G1003" t="s">
        <v>25</v>
      </c>
      <c r="H1003" t="s">
        <v>15</v>
      </c>
      <c r="I1003">
        <v>1</v>
      </c>
      <c r="J1003" t="s">
        <v>16</v>
      </c>
      <c r="K1003" t="s">
        <v>17</v>
      </c>
      <c r="L1003">
        <v>40</v>
      </c>
      <c r="M1003" t="s">
        <v>15</v>
      </c>
    </row>
    <row r="1004" spans="1:13" x14ac:dyDescent="0.3">
      <c r="A1004">
        <v>22173</v>
      </c>
      <c r="B1004" t="s">
        <v>34</v>
      </c>
      <c r="C1004" t="s">
        <v>33</v>
      </c>
      <c r="D1004" s="2">
        <v>30000</v>
      </c>
      <c r="E1004">
        <v>3</v>
      </c>
      <c r="F1004" t="s">
        <v>27</v>
      </c>
      <c r="G1004" t="s">
        <v>14</v>
      </c>
      <c r="H1004" t="s">
        <v>18</v>
      </c>
      <c r="I1004">
        <v>2</v>
      </c>
      <c r="J1004" t="s">
        <v>26</v>
      </c>
      <c r="K1004" t="s">
        <v>24</v>
      </c>
      <c r="L1004">
        <v>54</v>
      </c>
      <c r="M1004" t="s">
        <v>15</v>
      </c>
    </row>
    <row r="1005" spans="1:13" x14ac:dyDescent="0.3">
      <c r="A1005">
        <v>12697</v>
      </c>
      <c r="B1005" t="s">
        <v>35</v>
      </c>
      <c r="C1005" t="s">
        <v>33</v>
      </c>
      <c r="D1005" s="2">
        <v>90000</v>
      </c>
      <c r="E1005">
        <v>0</v>
      </c>
      <c r="F1005" t="s">
        <v>13</v>
      </c>
      <c r="G1005" t="s">
        <v>21</v>
      </c>
      <c r="H1005" t="s">
        <v>18</v>
      </c>
      <c r="I1005">
        <v>4</v>
      </c>
      <c r="J1005" t="s">
        <v>30</v>
      </c>
      <c r="K1005" t="s">
        <v>24</v>
      </c>
      <c r="L1005">
        <v>36</v>
      </c>
      <c r="M1005" t="s">
        <v>18</v>
      </c>
    </row>
    <row r="1006" spans="1:13" x14ac:dyDescent="0.3">
      <c r="A1006">
        <v>11434</v>
      </c>
      <c r="B1006" t="s">
        <v>34</v>
      </c>
      <c r="C1006" t="s">
        <v>34</v>
      </c>
      <c r="D1006" s="2">
        <v>170000</v>
      </c>
      <c r="E1006">
        <v>5</v>
      </c>
      <c r="F1006" t="s">
        <v>19</v>
      </c>
      <c r="G1006" t="s">
        <v>21</v>
      </c>
      <c r="H1006" t="s">
        <v>15</v>
      </c>
      <c r="I1006">
        <v>0</v>
      </c>
      <c r="J1006" t="s">
        <v>16</v>
      </c>
      <c r="K1006" t="s">
        <v>17</v>
      </c>
      <c r="L1006">
        <v>55</v>
      </c>
      <c r="M1006" t="s">
        <v>18</v>
      </c>
    </row>
    <row r="1007" spans="1:13" x14ac:dyDescent="0.3">
      <c r="A1007">
        <v>25323</v>
      </c>
      <c r="B1007" t="s">
        <v>34</v>
      </c>
      <c r="C1007" t="s">
        <v>34</v>
      </c>
      <c r="D1007" s="2">
        <v>40000</v>
      </c>
      <c r="E1007">
        <v>2</v>
      </c>
      <c r="F1007" t="s">
        <v>19</v>
      </c>
      <c r="G1007" t="s">
        <v>20</v>
      </c>
      <c r="H1007" t="s">
        <v>15</v>
      </c>
      <c r="I1007">
        <v>1</v>
      </c>
      <c r="J1007" t="s">
        <v>26</v>
      </c>
      <c r="K1007" t="s">
        <v>17</v>
      </c>
      <c r="L1007">
        <v>35</v>
      </c>
      <c r="M1007" t="s">
        <v>15</v>
      </c>
    </row>
    <row r="1008" spans="1:13" x14ac:dyDescent="0.3">
      <c r="A1008">
        <v>23542</v>
      </c>
      <c r="B1008" t="s">
        <v>35</v>
      </c>
      <c r="C1008" t="s">
        <v>34</v>
      </c>
      <c r="D1008" s="2">
        <v>60000</v>
      </c>
      <c r="E1008">
        <v>1</v>
      </c>
      <c r="F1008" t="s">
        <v>19</v>
      </c>
      <c r="G1008" t="s">
        <v>14</v>
      </c>
      <c r="H1008" t="s">
        <v>18</v>
      </c>
      <c r="I1008">
        <v>1</v>
      </c>
      <c r="J1008" t="s">
        <v>16</v>
      </c>
      <c r="K1008" t="s">
        <v>24</v>
      </c>
      <c r="L1008">
        <v>45</v>
      </c>
      <c r="M1008" t="s">
        <v>15</v>
      </c>
    </row>
    <row r="1009" spans="1:13" x14ac:dyDescent="0.3">
      <c r="A1009">
        <v>20870</v>
      </c>
      <c r="B1009" t="s">
        <v>35</v>
      </c>
      <c r="C1009" t="s">
        <v>33</v>
      </c>
      <c r="D1009" s="2">
        <v>10000</v>
      </c>
      <c r="E1009">
        <v>2</v>
      </c>
      <c r="F1009" t="s">
        <v>27</v>
      </c>
      <c r="G1009" t="s">
        <v>25</v>
      </c>
      <c r="H1009" t="s">
        <v>15</v>
      </c>
      <c r="I1009">
        <v>1</v>
      </c>
      <c r="J1009" t="s">
        <v>16</v>
      </c>
      <c r="K1009" t="s">
        <v>17</v>
      </c>
      <c r="L1009">
        <v>38</v>
      </c>
      <c r="M1009" t="s">
        <v>15</v>
      </c>
    </row>
    <row r="1010" spans="1:13" x14ac:dyDescent="0.3">
      <c r="A1010">
        <v>23316</v>
      </c>
      <c r="B1010" t="s">
        <v>35</v>
      </c>
      <c r="C1010" t="s">
        <v>34</v>
      </c>
      <c r="D1010" s="2">
        <v>30000</v>
      </c>
      <c r="E1010">
        <v>3</v>
      </c>
      <c r="F1010" t="s">
        <v>19</v>
      </c>
      <c r="G1010" t="s">
        <v>20</v>
      </c>
      <c r="H1010" t="s">
        <v>18</v>
      </c>
      <c r="I1010">
        <v>2</v>
      </c>
      <c r="J1010" t="s">
        <v>26</v>
      </c>
      <c r="K1010" t="s">
        <v>24</v>
      </c>
      <c r="L1010">
        <v>59</v>
      </c>
      <c r="M1010" t="s">
        <v>15</v>
      </c>
    </row>
    <row r="1011" spans="1:13" x14ac:dyDescent="0.3">
      <c r="A1011">
        <v>12610</v>
      </c>
      <c r="B1011" t="s">
        <v>34</v>
      </c>
      <c r="C1011" t="s">
        <v>33</v>
      </c>
      <c r="D1011" s="2">
        <v>30000</v>
      </c>
      <c r="E1011">
        <v>1</v>
      </c>
      <c r="F1011" t="s">
        <v>13</v>
      </c>
      <c r="G1011" t="s">
        <v>20</v>
      </c>
      <c r="H1011" t="s">
        <v>15</v>
      </c>
      <c r="I1011">
        <v>0</v>
      </c>
      <c r="J1011" t="s">
        <v>16</v>
      </c>
      <c r="K1011" t="s">
        <v>17</v>
      </c>
      <c r="L1011">
        <v>47</v>
      </c>
      <c r="M1011" t="s">
        <v>18</v>
      </c>
    </row>
    <row r="1012" spans="1:13" x14ac:dyDescent="0.3">
      <c r="A1012">
        <v>27183</v>
      </c>
      <c r="B1012" t="s">
        <v>35</v>
      </c>
      <c r="C1012" t="s">
        <v>34</v>
      </c>
      <c r="D1012" s="2">
        <v>40000</v>
      </c>
      <c r="E1012">
        <v>2</v>
      </c>
      <c r="F1012" t="s">
        <v>19</v>
      </c>
      <c r="G1012" t="s">
        <v>20</v>
      </c>
      <c r="H1012" t="s">
        <v>15</v>
      </c>
      <c r="I1012">
        <v>1</v>
      </c>
      <c r="J1012" t="s">
        <v>26</v>
      </c>
      <c r="K1012" t="s">
        <v>17</v>
      </c>
      <c r="L1012">
        <v>35</v>
      </c>
      <c r="M1012" t="s">
        <v>15</v>
      </c>
    </row>
    <row r="1013" spans="1:13" x14ac:dyDescent="0.3">
      <c r="A1013">
        <v>25940</v>
      </c>
      <c r="B1013" t="s">
        <v>35</v>
      </c>
      <c r="C1013" t="s">
        <v>34</v>
      </c>
      <c r="D1013" s="2">
        <v>20000</v>
      </c>
      <c r="E1013">
        <v>2</v>
      </c>
      <c r="F1013" t="s">
        <v>29</v>
      </c>
      <c r="G1013" t="s">
        <v>20</v>
      </c>
      <c r="H1013" t="s">
        <v>15</v>
      </c>
      <c r="I1013">
        <v>2</v>
      </c>
      <c r="J1013" t="s">
        <v>23</v>
      </c>
      <c r="K1013" t="s">
        <v>24</v>
      </c>
      <c r="L1013">
        <v>55</v>
      </c>
      <c r="M1013" t="s">
        <v>15</v>
      </c>
    </row>
    <row r="1014" spans="1:13" x14ac:dyDescent="0.3">
      <c r="A1014">
        <v>25598</v>
      </c>
      <c r="B1014" t="s">
        <v>34</v>
      </c>
      <c r="C1014" t="s">
        <v>33</v>
      </c>
      <c r="D1014" s="2">
        <v>40000</v>
      </c>
      <c r="E1014">
        <v>0</v>
      </c>
      <c r="F1014" t="s">
        <v>31</v>
      </c>
      <c r="G1014" t="s">
        <v>20</v>
      </c>
      <c r="H1014" t="s">
        <v>15</v>
      </c>
      <c r="I1014">
        <v>0</v>
      </c>
      <c r="J1014" t="s">
        <v>16</v>
      </c>
      <c r="K1014" t="s">
        <v>17</v>
      </c>
      <c r="L1014">
        <v>36</v>
      </c>
      <c r="M1014" t="s">
        <v>15</v>
      </c>
    </row>
    <row r="1015" spans="1:13" x14ac:dyDescent="0.3">
      <c r="A1015">
        <v>21564</v>
      </c>
      <c r="B1015" t="s">
        <v>35</v>
      </c>
      <c r="C1015" t="s">
        <v>33</v>
      </c>
      <c r="D1015" s="2">
        <v>80000</v>
      </c>
      <c r="E1015">
        <v>0</v>
      </c>
      <c r="F1015" t="s">
        <v>13</v>
      </c>
      <c r="G1015" t="s">
        <v>21</v>
      </c>
      <c r="H1015" t="s">
        <v>15</v>
      </c>
      <c r="I1015">
        <v>4</v>
      </c>
      <c r="J1015" t="s">
        <v>30</v>
      </c>
      <c r="K1015" t="s">
        <v>24</v>
      </c>
      <c r="L1015">
        <v>35</v>
      </c>
      <c r="M1015" t="s">
        <v>18</v>
      </c>
    </row>
    <row r="1016" spans="1:13" x14ac:dyDescent="0.3">
      <c r="A1016">
        <v>19193</v>
      </c>
      <c r="B1016" t="s">
        <v>35</v>
      </c>
      <c r="C1016" t="s">
        <v>34</v>
      </c>
      <c r="D1016" s="2">
        <v>40000</v>
      </c>
      <c r="E1016">
        <v>2</v>
      </c>
      <c r="F1016" t="s">
        <v>19</v>
      </c>
      <c r="G1016" t="s">
        <v>20</v>
      </c>
      <c r="H1016" t="s">
        <v>15</v>
      </c>
      <c r="I1016">
        <v>0</v>
      </c>
      <c r="J1016" t="s">
        <v>26</v>
      </c>
      <c r="K1016" t="s">
        <v>17</v>
      </c>
      <c r="L1016">
        <v>35</v>
      </c>
      <c r="M1016" t="s">
        <v>15</v>
      </c>
    </row>
    <row r="1017" spans="1:13" x14ac:dyDescent="0.3">
      <c r="A1017">
        <v>26412</v>
      </c>
      <c r="B1017" t="s">
        <v>34</v>
      </c>
      <c r="C1017" t="s">
        <v>33</v>
      </c>
      <c r="D1017" s="2">
        <v>80000</v>
      </c>
      <c r="E1017">
        <v>5</v>
      </c>
      <c r="F1017" t="s">
        <v>27</v>
      </c>
      <c r="G1017" t="s">
        <v>28</v>
      </c>
      <c r="H1017" t="s">
        <v>18</v>
      </c>
      <c r="I1017">
        <v>3</v>
      </c>
      <c r="J1017" t="s">
        <v>23</v>
      </c>
      <c r="K1017" t="s">
        <v>17</v>
      </c>
      <c r="L1017">
        <v>56</v>
      </c>
      <c r="M1017" t="s">
        <v>18</v>
      </c>
    </row>
    <row r="1018" spans="1:13" x14ac:dyDescent="0.3">
      <c r="A1018">
        <v>27184</v>
      </c>
      <c r="B1018" t="s">
        <v>35</v>
      </c>
      <c r="C1018" t="s">
        <v>34</v>
      </c>
      <c r="D1018" s="2">
        <v>40000</v>
      </c>
      <c r="E1018">
        <v>2</v>
      </c>
      <c r="F1018" t="s">
        <v>19</v>
      </c>
      <c r="G1018" t="s">
        <v>20</v>
      </c>
      <c r="H1018" t="s">
        <v>18</v>
      </c>
      <c r="I1018">
        <v>1</v>
      </c>
      <c r="J1018" t="s">
        <v>16</v>
      </c>
      <c r="K1018" t="s">
        <v>17</v>
      </c>
      <c r="L1018">
        <v>34</v>
      </c>
      <c r="M1018" t="s">
        <v>18</v>
      </c>
    </row>
    <row r="1019" spans="1:13" x14ac:dyDescent="0.3">
      <c r="A1019">
        <v>12590</v>
      </c>
      <c r="B1019" t="s">
        <v>35</v>
      </c>
      <c r="C1019" t="s">
        <v>34</v>
      </c>
      <c r="D1019" s="2">
        <v>30000</v>
      </c>
      <c r="E1019">
        <v>1</v>
      </c>
      <c r="F1019" t="s">
        <v>13</v>
      </c>
      <c r="G1019" t="s">
        <v>20</v>
      </c>
      <c r="H1019" t="s">
        <v>15</v>
      </c>
      <c r="I1019">
        <v>0</v>
      </c>
      <c r="J1019" t="s">
        <v>16</v>
      </c>
      <c r="K1019" t="s">
        <v>17</v>
      </c>
      <c r="L1019">
        <v>63</v>
      </c>
      <c r="M1019" t="s">
        <v>18</v>
      </c>
    </row>
    <row r="1020" spans="1:13" x14ac:dyDescent="0.3">
      <c r="A1020">
        <v>17841</v>
      </c>
      <c r="B1020" t="s">
        <v>35</v>
      </c>
      <c r="C1020" t="s">
        <v>34</v>
      </c>
      <c r="D1020" s="2">
        <v>30000</v>
      </c>
      <c r="E1020">
        <v>0</v>
      </c>
      <c r="F1020" t="s">
        <v>19</v>
      </c>
      <c r="G1020" t="s">
        <v>20</v>
      </c>
      <c r="H1020" t="s">
        <v>18</v>
      </c>
      <c r="I1020">
        <v>1</v>
      </c>
      <c r="J1020" t="s">
        <v>16</v>
      </c>
      <c r="K1020" t="s">
        <v>17</v>
      </c>
      <c r="L1020">
        <v>29</v>
      </c>
      <c r="M1020" t="s">
        <v>15</v>
      </c>
    </row>
    <row r="1021" spans="1:13" x14ac:dyDescent="0.3">
      <c r="A1021">
        <v>18283</v>
      </c>
      <c r="B1021" t="s">
        <v>35</v>
      </c>
      <c r="C1021" t="s">
        <v>33</v>
      </c>
      <c r="D1021" s="2">
        <v>100000</v>
      </c>
      <c r="E1021">
        <v>0</v>
      </c>
      <c r="F1021" t="s">
        <v>13</v>
      </c>
      <c r="G1021" t="s">
        <v>21</v>
      </c>
      <c r="H1021" t="s">
        <v>18</v>
      </c>
      <c r="I1021">
        <v>1</v>
      </c>
      <c r="J1021" t="s">
        <v>23</v>
      </c>
      <c r="K1021" t="s">
        <v>24</v>
      </c>
      <c r="L1021">
        <v>40</v>
      </c>
      <c r="M1021" t="s">
        <v>18</v>
      </c>
    </row>
    <row r="1022" spans="1:13" x14ac:dyDescent="0.3">
      <c r="A1022">
        <v>18299</v>
      </c>
      <c r="B1022" t="s">
        <v>34</v>
      </c>
      <c r="C1022" t="s">
        <v>34</v>
      </c>
      <c r="D1022" s="2">
        <v>70000</v>
      </c>
      <c r="E1022">
        <v>5</v>
      </c>
      <c r="F1022" t="s">
        <v>19</v>
      </c>
      <c r="G1022" t="s">
        <v>14</v>
      </c>
      <c r="H1022" t="s">
        <v>15</v>
      </c>
      <c r="I1022">
        <v>2</v>
      </c>
      <c r="J1022" t="s">
        <v>23</v>
      </c>
      <c r="K1022" t="s">
        <v>24</v>
      </c>
      <c r="L1022">
        <v>44</v>
      </c>
      <c r="M1022" t="s">
        <v>18</v>
      </c>
    </row>
    <row r="1023" spans="1:13" x14ac:dyDescent="0.3">
      <c r="A1023">
        <v>16466</v>
      </c>
      <c r="B1023" t="s">
        <v>35</v>
      </c>
      <c r="C1023" t="s">
        <v>33</v>
      </c>
      <c r="D1023" s="2">
        <v>20000</v>
      </c>
      <c r="E1023">
        <v>0</v>
      </c>
      <c r="F1023" t="s">
        <v>29</v>
      </c>
      <c r="G1023" t="s">
        <v>25</v>
      </c>
      <c r="H1023" t="s">
        <v>18</v>
      </c>
      <c r="I1023">
        <v>2</v>
      </c>
      <c r="J1023" t="s">
        <v>16</v>
      </c>
      <c r="K1023" t="s">
        <v>17</v>
      </c>
      <c r="L1023">
        <v>32</v>
      </c>
      <c r="M1023" t="s">
        <v>15</v>
      </c>
    </row>
    <row r="1024" spans="1:13" x14ac:dyDescent="0.3">
      <c r="A1024">
        <v>19273</v>
      </c>
      <c r="B1024" t="s">
        <v>34</v>
      </c>
      <c r="C1024" t="s">
        <v>33</v>
      </c>
      <c r="D1024" s="2">
        <v>20000</v>
      </c>
      <c r="E1024">
        <v>2</v>
      </c>
      <c r="F1024" t="s">
        <v>19</v>
      </c>
      <c r="G1024" t="s">
        <v>25</v>
      </c>
      <c r="H1024" t="s">
        <v>15</v>
      </c>
      <c r="I1024">
        <v>0</v>
      </c>
      <c r="J1024" t="s">
        <v>16</v>
      </c>
      <c r="K1024" t="s">
        <v>17</v>
      </c>
      <c r="L1024">
        <v>63</v>
      </c>
      <c r="M1024" t="s">
        <v>18</v>
      </c>
    </row>
    <row r="1025" spans="1:13" x14ac:dyDescent="0.3">
      <c r="A1025">
        <v>22400</v>
      </c>
      <c r="B1025" t="s">
        <v>34</v>
      </c>
      <c r="C1025" t="s">
        <v>34</v>
      </c>
      <c r="D1025" s="2">
        <v>10000</v>
      </c>
      <c r="E1025">
        <v>0</v>
      </c>
      <c r="F1025" t="s">
        <v>19</v>
      </c>
      <c r="G1025" t="s">
        <v>25</v>
      </c>
      <c r="H1025" t="s">
        <v>18</v>
      </c>
      <c r="I1025">
        <v>1</v>
      </c>
      <c r="J1025" t="s">
        <v>16</v>
      </c>
      <c r="K1025" t="s">
        <v>24</v>
      </c>
      <c r="L1025">
        <v>26</v>
      </c>
      <c r="M1025" t="s">
        <v>15</v>
      </c>
    </row>
    <row r="1026" spans="1:13" x14ac:dyDescent="0.3">
      <c r="A1026">
        <v>20942</v>
      </c>
      <c r="B1026" t="s">
        <v>35</v>
      </c>
      <c r="C1026" t="s">
        <v>33</v>
      </c>
      <c r="D1026" s="2">
        <v>20000</v>
      </c>
      <c r="E1026">
        <v>0</v>
      </c>
      <c r="F1026" t="s">
        <v>27</v>
      </c>
      <c r="G1026" t="s">
        <v>25</v>
      </c>
      <c r="H1026" t="s">
        <v>18</v>
      </c>
      <c r="I1026">
        <v>1</v>
      </c>
      <c r="J1026" t="s">
        <v>23</v>
      </c>
      <c r="K1026" t="s">
        <v>17</v>
      </c>
      <c r="L1026">
        <v>31</v>
      </c>
      <c r="M1026" t="s">
        <v>18</v>
      </c>
    </row>
    <row r="1027" spans="1:13" x14ac:dyDescent="0.3">
      <c r="A1027">
        <v>18484</v>
      </c>
      <c r="B1027" t="s">
        <v>35</v>
      </c>
      <c r="C1027" t="s">
        <v>34</v>
      </c>
      <c r="D1027" s="2">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7D99-9BE7-4993-9E69-7207940C381E}">
  <dimension ref="A1:N1001"/>
  <sheetViews>
    <sheetView topLeftCell="G1" workbookViewId="0">
      <selection activeCell="M2" sqref="M2:M1001"/>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IF(L2&gt;50,"Old 50+",IF(L2&gt;=31,"Middle Age 31-50",IF(L2&lt;31,"Adolescent 0-30","Invalid")))</f>
        <v>Middle Age 31-50</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IF(L3&gt;50,"Old 50+",IF(L3&gt;=31,"Middle Age 31-50",IF(L3&lt;31,"Adolescent 0-30","Invalid")))</f>
        <v>Middle Age 31-50</v>
      </c>
      <c r="N3" t="s">
        <v>18</v>
      </c>
    </row>
    <row r="4" spans="1:14" x14ac:dyDescent="0.3">
      <c r="A4">
        <v>14177</v>
      </c>
      <c r="B4" t="s">
        <v>36</v>
      </c>
      <c r="C4" t="s">
        <v>39</v>
      </c>
      <c r="D4" s="3">
        <v>80000</v>
      </c>
      <c r="E4">
        <v>5</v>
      </c>
      <c r="F4" t="s">
        <v>19</v>
      </c>
      <c r="G4" t="s">
        <v>21</v>
      </c>
      <c r="H4" t="s">
        <v>18</v>
      </c>
      <c r="I4">
        <v>2</v>
      </c>
      <c r="J4" t="s">
        <v>22</v>
      </c>
      <c r="K4" t="s">
        <v>17</v>
      </c>
      <c r="L4">
        <v>60</v>
      </c>
      <c r="M4" t="str">
        <f t="shared" si="0"/>
        <v>Old 50+</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31-50</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31-50</v>
      </c>
      <c r="N6" t="s">
        <v>15</v>
      </c>
    </row>
    <row r="7" spans="1:14" x14ac:dyDescent="0.3">
      <c r="A7">
        <v>13507</v>
      </c>
      <c r="B7" t="s">
        <v>36</v>
      </c>
      <c r="C7" t="s">
        <v>38</v>
      </c>
      <c r="D7" s="3">
        <v>10000</v>
      </c>
      <c r="E7">
        <v>2</v>
      </c>
      <c r="F7" t="s">
        <v>19</v>
      </c>
      <c r="G7" t="s">
        <v>25</v>
      </c>
      <c r="H7" t="s">
        <v>15</v>
      </c>
      <c r="I7">
        <v>0</v>
      </c>
      <c r="J7" t="s">
        <v>26</v>
      </c>
      <c r="K7" t="s">
        <v>17</v>
      </c>
      <c r="L7">
        <v>50</v>
      </c>
      <c r="M7" t="str">
        <f t="shared" si="0"/>
        <v>Middle Age 31-50</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31-50</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31-50</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50+</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31-50</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 50+</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 31-50</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50+</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31-50</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31-50</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 31-50</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50+</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 31-50</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31-50</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50+</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 31-50</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 31-50</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31-50</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50+</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31-50</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50+</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 31-50</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31-50</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 31-50</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50+</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 31-50</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31-50</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50+</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 31-50</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 31-50</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 31-50</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 31-50</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50+</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 31-50</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 31-50</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 31-50</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50+</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 31-50</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 50+</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31-50</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31-50</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 31-50</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50+</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50+</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 31-50</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Old 50+</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31-50</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50+</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 31-50</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31-50</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 31-50</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 31-50</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 50+</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 31-50</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 31-50</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IF(L67&gt;50,"Old 50+",IF(L67&gt;=31,"Middle Age 31-50",IF(L67&lt;31,"Adolescent 0-30","Invalid")))</f>
        <v>Old 50+</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 31-50</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31-50</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 31-50</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 31-50</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 31-50</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 50+</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 31-50</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50+</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 31-50</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31-50</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50+</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 31-50</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 31-50</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31-50</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 50+</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 50+</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31-50</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31-50</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 31-50</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 31-50</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50+</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 50+</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31-50</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31-50</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 31-50</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31-50</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31-50</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31-50</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31-50</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 31-50</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 50+</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 50+</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 31-50</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31-50</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 31-50</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 31-50</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 31-50</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 31-50</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 31-50</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 31-50</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50+</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50+</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31-50</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 31-50</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50+</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 31-50</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31-50</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31-50</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31-50</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 50+</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IF(L131&gt;50,"Old 50+",IF(L131&gt;=31,"Middle Age 31-50",IF(L131&lt;31,"Adolescent 0-30","Invalid")))</f>
        <v>Middle Age 31-50</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31-50</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50+</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31-50</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50+</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 31-50</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 50+</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 31-50</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31-50</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50+</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50+</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31-50</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31-50</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 31-50</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31-50</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 31-50</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31-50</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 31-50</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50+</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31-50</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31-50</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 31-50</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31-50</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31-50</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 31-50</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50+</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31-50</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 50+</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 31-50</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 31-50</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 31-50</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 31-50</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 50+</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31-50</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 31-50</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31-50</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31-50</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50+</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50+</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31-50</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31-50</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 50+</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 31-50</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 50+</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 31-50</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31-50</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50+</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 31-50</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50+</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 50+</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 31-50</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50+</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 50+</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 31-50</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31-50</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50+</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31-50</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 50+</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IF(L195&gt;50,"Old 50+",IF(L195&gt;=31,"Middle Age 31-50",IF(L195&lt;31,"Adolescent 0-30","Invalid")))</f>
        <v>Middle Age 31-50</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 31-50</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 31-50</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50+</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 31-50</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 31-50</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31-50</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31-50</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 31-50</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 50+</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31-50</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 50+</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 31-50</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 31-50</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 31-50</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 31-50</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 31-50</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50+</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 50+</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 50+</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31-50</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31-50</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31-50</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 31-50</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 31-50</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50+</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31-50</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 31-50</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31-50</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 31-50</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 50+</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 50+</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 31-50</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 31-50</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 31-50</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50+</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 31-50</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31-50</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 31-50</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31-50</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31-50</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Old 50+</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31-50</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 50+</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 31-50</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50+</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31-50</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50+</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50+</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31-50</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 50+</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50+</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 31-50</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31-50</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IF(L259&gt;50,"Old 50+",IF(L259&gt;=31,"Middle Age 31-50",IF(L259&lt;31,"Adolescent 0-30","Invalid")))</f>
        <v>Middle Age 31-50</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 50+</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31-50</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 31-50</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 31-50</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 50+</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 31-50</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31-50</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 31-50</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31-50</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31-50</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 31-50</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 50+</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31-50</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 31-50</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 31-50</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 31-50</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 31-50</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 31-50</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31-50</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 31-50</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31-50</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31-50</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 31-50</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31-50</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 31-50</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 31-50</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 31-50</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31-50</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 50+</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 31-50</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31-50</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 31-50</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 31-50</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31-50</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 31-50</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 31-50</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31-50</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 50+</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50+</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50+</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50+</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 31-50</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31-50</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50+</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31-50</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50+</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31-50</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 31-50</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31-50</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31-50</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50+</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 50+</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31-50</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31-50</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50+</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31-50</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Old 50+</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 31-50</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31-50</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IF(L323&gt;50,"Old 50+",IF(L323&gt;=31,"Middle Age 31-50",IF(L323&lt;31,"Adolescent 0-30","Invalid")))</f>
        <v>Middle Age 31-50</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 31-50</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 31-50</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31-50</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31-50</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31-50</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31-50</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 50+</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 31-50</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 31-50</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 50+</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31-50</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31-50</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31-50</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31-50</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 31-50</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50+</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 31-50</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31-50</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 31-50</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31-50</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 31-50</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31-50</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 31-50</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31-50</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31-50</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 50+</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31-50</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31-50</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 31-50</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 50+</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 31-50</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50+</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31-50</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31-50</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50+</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 31-50</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 31-50</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31-50</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 31-50</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50+</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 50+</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 31-50</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31-50</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31-50</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 31-50</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50+</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50+</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 50+</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50+</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31-50</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50+</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Old 50+</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31-50</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IF(L387&gt;50,"Old 50+",IF(L387&gt;=31,"Middle Age 31-50",IF(L387&lt;31,"Adolescent 0-30","Invalid")))</f>
        <v>Middle Age 31-50</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 31-50</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 31-50</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50+</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 31-50</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31-50</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 31-50</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 50+</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 31-50</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 31-50</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31-50</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31-50</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50+</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31-50</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 50+</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Old 50+</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50+</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31-50</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31-50</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 50+</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 31-50</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 31-50</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 31-50</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 31-50</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 50+</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 31-50</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31-50</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31-50</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50+</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 31-50</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 31-50</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31-50</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50+</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31-50</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 50+</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 50+</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 50+</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 31-50</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31-50</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 31-50</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50+</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 31-50</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31-50</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 31-50</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50+</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 31-50</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 50+</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50+</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 31-50</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 31-50</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31-50</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 31-50</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 50+</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31-50</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 31-50</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31-50</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 31-50</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 31-50</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 31-50</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 31-50</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IF(L451&gt;50,"Old 50+",IF(L451&gt;=31,"Middle Age 31-50",IF(L451&lt;31,"Adolescent 0-30","Invalid")))</f>
        <v>Middle Age 31-50</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 31-50</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 31-50</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50+</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 31-50</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31-50</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 50+</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31-50</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50+</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 31-50</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 31-50</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31-50</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 31-50</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 31-50</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31-50</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 31-50</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50+</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 31-50</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31-50</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 31-50</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50+</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31-50</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 31-50</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 31-50</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 31-50</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50+</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 31-50</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31-50</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31-50</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31-50</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 31-50</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 31-50</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31-50</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50+</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 31-50</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31-50</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 50+</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31-50</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 31-50</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31-50</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31-50</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31-50</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 31-50</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 50+</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 50+</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 50+</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 31-50</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 31-50</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31-50</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 31-50</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31-50</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 31-50</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 31-50</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31-50</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31-50</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 31-50</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 50+</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31-50</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31-50</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50+</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 31-50</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IF(L515&gt;50,"Old 50+",IF(L515&gt;=31,"Middle Age 31-50",IF(L515&lt;31,"Adolescent 0-30","Invalid")))</f>
        <v>Old 50+</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31-50</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 31-50</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 31-50</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31-50</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 31-50</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50+</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31-50</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 50+</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31-50</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31-50</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50+</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 50+</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 31-50</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31-50</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 50+</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 31-50</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 50+</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 50+</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 31-50</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 31-50</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 31-50</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 31-50</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 31-50</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 50+</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31-50</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 50+</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31-50</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31-50</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50+</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 31-50</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 31-50</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 31-50</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 50+</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Old 50+</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50+</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 31-50</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31-50</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31-50</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 31-50</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 31-50</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 50+</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 31-50</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 31-50</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 31-50</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 50+</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50+</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31-50</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31-50</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 50+</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 50+</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50+</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50+</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 31-50</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 50+</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 31-50</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IF(L579&gt;50,"Old 50+",IF(L579&gt;=31,"Middle Age 31-50",IF(L579&lt;31,"Adolescent 0-30","Invalid")))</f>
        <v>Middle Age 31-50</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50+</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 31-50</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 50+</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31-50</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 50+</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31-50</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31-50</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 50+</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 31-50</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Old 50+</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 50+</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 31-50</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 50+</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 31-50</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 31-50</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50+</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50+</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 31-50</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50+</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31-50</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50+</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31-50</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31-50</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 50+</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31-50</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 50+</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31-50</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 31-50</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 50+</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31-50</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31-50</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 31-50</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31-50</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 31-50</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 31-50</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 31-50</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31-50</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 31-50</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 31-50</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50+</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31-50</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50+</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50+</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50+</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 50+</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 31-50</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31-50</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 31-50</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 31-50</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50+</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 31-50</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 31-50</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50+</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50+</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50+</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IF(L643&gt;50,"Old 50+",IF(L643&gt;=31,"Middle Age 31-50",IF(L643&lt;31,"Adolescent 0-30","Invalid")))</f>
        <v>Old 50+</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 31-50</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 31-50</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 31-50</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 31-50</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 31-50</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31-50</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50+</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 31-50</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 50+</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31-50</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31-50</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31-50</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31-50</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 31-50</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31-50</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31-50</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31-50</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 50+</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 31-50</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 31-50</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 31-50</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 31-50</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31-50</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 31-50</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 50+</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 31-50</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 31-50</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 50+</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 31-50</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 31-50</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 31-50</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31-50</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31-50</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31-50</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50+</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 50+</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 31-50</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 31-50</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 50+</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 31-50</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 31-50</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 50+</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 50+</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 31-50</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31-50</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31-50</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 31-50</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 31-50</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31-50</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31-50</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31-50</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50+</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31-50</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 31-50</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 31-50</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IF(L707&gt;50,"Old 50+",IF(L707&gt;=31,"Middle Age 31-50",IF(L707&lt;31,"Adolescent 0-30","Invalid")))</f>
        <v>Old 50+</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 31-50</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 31-50</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 50+</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 50+</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31-50</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 50+</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50+</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 31-50</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 31-50</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 31-50</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31-50</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31-50</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 31-50</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50+</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31-50</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 50+</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 31-50</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31-50</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31-50</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 50+</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31-50</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 31-50</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 31-50</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31-50</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 31-50</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31-50</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 31-50</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31-50</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31-50</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 31-50</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 50+</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 31-50</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31-50</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 50+</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31-50</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 50+</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 31-50</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50+</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50+</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31-50</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31-50</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31-50</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50+</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 50+</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31-50</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 50+</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 31-50</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 31-50</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31-50</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 50+</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31-50</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31-50</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 31-50</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 31-50</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50+</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 31-50</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IF(L771&gt;50,"Old 50+",IF(L771&gt;=31,"Middle Age 31-50",IF(L771&lt;31,"Adolescent 0-30","Invalid")))</f>
        <v>Middle Age 31-50</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50+</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31-50</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31-50</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 31-50</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 31-50</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Old 50+</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50+</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31-50</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31-50</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 50+</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31-50</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31-50</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31-50</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 50+</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 31-50</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50+</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 31-50</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31-50</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 31-50</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 50+</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 50+</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50+</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 50+</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50+</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 31-50</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31-50</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50+</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 31-50</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 50+</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 31-50</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31-50</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50+</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 50+</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31-50</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 50+</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Old 50+</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50+</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 31-50</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 31-50</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31-50</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31-50</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31-50</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 31-50</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31-50</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 50+</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31-50</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 31-50</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50+</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 50+</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 31-50</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 31-50</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IF(L835&gt;50,"Old 50+",IF(L835&gt;=31,"Middle Age 31-50",IF(L835&lt;31,"Adolescent 0-30","Invalid")))</f>
        <v>Middle Age 31-50</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 50+</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 31-50</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31-50</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 31-50</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 31-50</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Old 50+</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50+</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 31-50</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 50+</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 50+</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 31-50</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50+</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31-50</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50+</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50+</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31-50</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31-50</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31-50</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 31-50</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 31-50</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 31-50</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31-50</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31-50</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31-50</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 50+</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31-50</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31-50</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31-50</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 31-50</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 50+</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31-50</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 50+</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 31-50</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31-50</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 50+</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 50+</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31-50</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 50+</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 31-50</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50+</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50+</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31-50</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31-50</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50+</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31-50</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 31-50</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50+</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 31-50</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31-50</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31-50</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 31-50</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 31-50</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 31-50</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50+</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 31-50</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31-50</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31-50</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50+</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 31-50</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IF(L899&gt;50,"Old 50+",IF(L899&gt;=31,"Middle Age 31-50",IF(L899&lt;31,"Adolescent 0-30","Invalid")))</f>
        <v>Adolescent 0-30</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 50+</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 31-50</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31-50</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 31-50</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31-50</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50+</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 31-50</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31-50</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31-50</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 50+</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31-50</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31-50</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31-50</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50+</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 31-50</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31-50</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31-50</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 50+</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31-50</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31-50</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 31-50</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 50+</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 50+</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 31-50</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 50+</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 50+</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31-50</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 31-50</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 50+</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 31-50</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31-50</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31-50</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 31-50</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 31-50</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50+</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 31-50</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50+</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31-50</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31-50</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 31-50</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 31-50</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 50+</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 31-50</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 31-50</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31-50</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50+</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 31-50</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 31-50</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Old 50+</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 31-50</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31-50</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50+</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31-50</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 31-50</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 31-50</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31-50</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31-50</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31-50</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IF(L963&gt;50,"Old 50+",IF(L963&gt;=31,"Middle Age 31-50",IF(L963&lt;31,"Adolescent 0-30","Invalid")))</f>
        <v>Old 50+</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 50+</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50+</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 50+</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 31-50</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 31-50</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50+</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31-50</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 31-50</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 50+</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 50+</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31-50</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 50+</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31-50</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 50+</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50+</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31-50</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31-50</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 31-50</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31-50</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31-50</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31-50</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31-50</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 31-50</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 50+</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 50+</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 50+</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 31-50</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 31-50</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31-50</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31-50</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31-50</v>
      </c>
      <c r="N996" t="s">
        <v>18</v>
      </c>
    </row>
    <row r="997" spans="1:14" x14ac:dyDescent="0.3">
      <c r="A997">
        <v>23731</v>
      </c>
      <c r="B997" t="s">
        <v>36</v>
      </c>
      <c r="C997" t="s">
        <v>39</v>
      </c>
      <c r="D997" s="3">
        <v>60000</v>
      </c>
      <c r="E997" s="1">
        <v>2</v>
      </c>
      <c r="F997" t="s">
        <v>27</v>
      </c>
      <c r="G997" t="s">
        <v>21</v>
      </c>
      <c r="H997" t="s">
        <v>15</v>
      </c>
      <c r="I997">
        <v>2</v>
      </c>
      <c r="J997" t="s">
        <v>22</v>
      </c>
      <c r="K997" t="s">
        <v>32</v>
      </c>
      <c r="L997">
        <v>54</v>
      </c>
      <c r="M997" t="str">
        <f t="shared" si="15"/>
        <v>Old 50+</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31-50</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31-50</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31-50</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Old 50+</v>
      </c>
      <c r="N1001" t="s">
        <v>15</v>
      </c>
    </row>
  </sheetData>
  <autoFilter ref="A1:N1001" xr:uid="{7F937D99-9BE7-4993-9E69-7207940C38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7324-3C2D-4BEB-9944-422EF811DDAC}">
  <dimension ref="A3:D114"/>
  <sheetViews>
    <sheetView topLeftCell="A32" workbookViewId="0">
      <selection activeCell="H76" sqref="H76"/>
    </sheetView>
  </sheetViews>
  <sheetFormatPr defaultRowHeight="14.4" x14ac:dyDescent="0.3"/>
  <cols>
    <col min="1" max="1" width="21.88671875" bestFit="1" customWidth="1"/>
    <col min="2" max="2" width="15.5546875" style="8" bestFit="1" customWidth="1"/>
    <col min="3" max="3" width="3.77734375" style="8" bestFit="1" customWidth="1"/>
    <col min="4" max="4" width="10.77734375" style="8" bestFit="1" customWidth="1"/>
  </cols>
  <sheetData>
    <row r="3" spans="1:4" x14ac:dyDescent="0.3">
      <c r="A3" s="4" t="s">
        <v>43</v>
      </c>
      <c r="B3" s="7" t="s">
        <v>44</v>
      </c>
    </row>
    <row r="4" spans="1:4" x14ac:dyDescent="0.3">
      <c r="A4" s="6" t="s">
        <v>41</v>
      </c>
      <c r="B4" s="8" t="s">
        <v>18</v>
      </c>
      <c r="C4" s="8" t="s">
        <v>15</v>
      </c>
      <c r="D4" s="8" t="s">
        <v>42</v>
      </c>
    </row>
    <row r="5" spans="1:4" x14ac:dyDescent="0.3">
      <c r="A5" s="5" t="s">
        <v>38</v>
      </c>
      <c r="B5" s="8">
        <v>45384.615384615383</v>
      </c>
      <c r="C5" s="8">
        <v>50526.315789473687</v>
      </c>
      <c r="D5" s="8">
        <v>47922.077922077922</v>
      </c>
    </row>
    <row r="6" spans="1:4" x14ac:dyDescent="0.3">
      <c r="A6" s="5" t="s">
        <v>39</v>
      </c>
      <c r="B6" s="8">
        <v>45588.23529411765</v>
      </c>
      <c r="C6" s="8">
        <v>53714.285714285717</v>
      </c>
      <c r="D6" s="8">
        <v>49710.144927536232</v>
      </c>
    </row>
    <row r="7" spans="1:4" x14ac:dyDescent="0.3">
      <c r="A7" s="5" t="s">
        <v>42</v>
      </c>
      <c r="B7" s="8">
        <v>45479.452054794521</v>
      </c>
      <c r="C7" s="8">
        <v>52054.794520547948</v>
      </c>
      <c r="D7" s="8">
        <v>48767.123287671231</v>
      </c>
    </row>
    <row r="22" spans="1:4" x14ac:dyDescent="0.3">
      <c r="A22" s="4" t="s">
        <v>45</v>
      </c>
      <c r="B22" s="4" t="s">
        <v>44</v>
      </c>
      <c r="C22"/>
      <c r="D22"/>
    </row>
    <row r="23" spans="1:4" x14ac:dyDescent="0.3">
      <c r="A23" s="4" t="s">
        <v>41</v>
      </c>
      <c r="B23" t="s">
        <v>18</v>
      </c>
      <c r="C23" t="s">
        <v>15</v>
      </c>
      <c r="D23" t="s">
        <v>42</v>
      </c>
    </row>
    <row r="24" spans="1:4" x14ac:dyDescent="0.3">
      <c r="A24" s="5" t="s">
        <v>16</v>
      </c>
      <c r="B24" s="9">
        <v>50</v>
      </c>
      <c r="C24" s="9">
        <v>53</v>
      </c>
      <c r="D24" s="9">
        <v>103</v>
      </c>
    </row>
    <row r="25" spans="1:4" x14ac:dyDescent="0.3">
      <c r="A25" s="5" t="s">
        <v>26</v>
      </c>
      <c r="B25" s="9">
        <v>7</v>
      </c>
      <c r="C25" s="9">
        <v>6</v>
      </c>
      <c r="D25" s="9">
        <v>13</v>
      </c>
    </row>
    <row r="26" spans="1:4" x14ac:dyDescent="0.3">
      <c r="A26" s="5" t="s">
        <v>22</v>
      </c>
      <c r="B26" s="9">
        <v>7</v>
      </c>
      <c r="C26" s="9">
        <v>3</v>
      </c>
      <c r="D26" s="9">
        <v>10</v>
      </c>
    </row>
    <row r="27" spans="1:4" x14ac:dyDescent="0.3">
      <c r="A27" s="5" t="s">
        <v>23</v>
      </c>
      <c r="B27" s="9">
        <v>1</v>
      </c>
      <c r="C27" s="9">
        <v>8</v>
      </c>
      <c r="D27" s="9">
        <v>9</v>
      </c>
    </row>
    <row r="28" spans="1:4" x14ac:dyDescent="0.3">
      <c r="A28" s="5" t="s">
        <v>46</v>
      </c>
      <c r="B28" s="9">
        <v>8</v>
      </c>
      <c r="C28" s="9">
        <v>3</v>
      </c>
      <c r="D28" s="9">
        <v>11</v>
      </c>
    </row>
    <row r="29" spans="1:4" x14ac:dyDescent="0.3">
      <c r="A29" s="5" t="s">
        <v>42</v>
      </c>
      <c r="B29" s="9">
        <v>73</v>
      </c>
      <c r="C29" s="9">
        <v>73</v>
      </c>
      <c r="D29" s="9">
        <v>146</v>
      </c>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B36"/>
      <c r="C36"/>
    </row>
    <row r="37" spans="1:4" x14ac:dyDescent="0.3">
      <c r="B37"/>
      <c r="C37"/>
    </row>
    <row r="38" spans="1:4" x14ac:dyDescent="0.3">
      <c r="B38"/>
      <c r="C38"/>
    </row>
    <row r="39" spans="1:4" x14ac:dyDescent="0.3">
      <c r="B39"/>
      <c r="C39"/>
    </row>
    <row r="41" spans="1:4" x14ac:dyDescent="0.3">
      <c r="A41" s="4" t="s">
        <v>45</v>
      </c>
      <c r="B41" s="4" t="s">
        <v>44</v>
      </c>
      <c r="C41"/>
      <c r="D41"/>
    </row>
    <row r="42" spans="1:4" x14ac:dyDescent="0.3">
      <c r="A42" s="4" t="s">
        <v>41</v>
      </c>
      <c r="B42" t="s">
        <v>18</v>
      </c>
      <c r="C42" t="s">
        <v>15</v>
      </c>
      <c r="D42" t="s">
        <v>42</v>
      </c>
    </row>
    <row r="43" spans="1:4" x14ac:dyDescent="0.3">
      <c r="A43" s="5" t="s">
        <v>47</v>
      </c>
      <c r="B43" s="9">
        <v>2</v>
      </c>
      <c r="C43" s="9">
        <v>1</v>
      </c>
      <c r="D43" s="9">
        <v>3</v>
      </c>
    </row>
    <row r="44" spans="1:4" x14ac:dyDescent="0.3">
      <c r="A44" s="5" t="s">
        <v>48</v>
      </c>
      <c r="B44" s="9">
        <v>39</v>
      </c>
      <c r="C44" s="9">
        <v>55</v>
      </c>
      <c r="D44" s="9">
        <v>94</v>
      </c>
    </row>
    <row r="45" spans="1:4" x14ac:dyDescent="0.3">
      <c r="A45" s="5" t="s">
        <v>49</v>
      </c>
      <c r="B45" s="9">
        <v>32</v>
      </c>
      <c r="C45" s="9">
        <v>17</v>
      </c>
      <c r="D45" s="9">
        <v>49</v>
      </c>
    </row>
    <row r="46" spans="1:4" x14ac:dyDescent="0.3">
      <c r="A46" s="5" t="s">
        <v>42</v>
      </c>
      <c r="B46" s="9">
        <v>73</v>
      </c>
      <c r="C46" s="9">
        <v>73</v>
      </c>
      <c r="D46" s="9">
        <v>146</v>
      </c>
    </row>
    <row r="47" spans="1:4" x14ac:dyDescent="0.3">
      <c r="B47"/>
      <c r="C47"/>
    </row>
    <row r="48" spans="1:4" x14ac:dyDescent="0.3">
      <c r="B48"/>
      <c r="C48"/>
    </row>
    <row r="49" spans="1:4" x14ac:dyDescent="0.3">
      <c r="B49"/>
      <c r="C49"/>
    </row>
    <row r="50" spans="1:4" x14ac:dyDescent="0.3">
      <c r="B50"/>
      <c r="C50"/>
    </row>
    <row r="51" spans="1:4" x14ac:dyDescent="0.3">
      <c r="B51"/>
      <c r="C51"/>
    </row>
    <row r="52" spans="1:4" x14ac:dyDescent="0.3">
      <c r="B52"/>
      <c r="C52"/>
    </row>
    <row r="53" spans="1:4" x14ac:dyDescent="0.3">
      <c r="B53"/>
      <c r="C53"/>
    </row>
    <row r="54" spans="1:4" x14ac:dyDescent="0.3">
      <c r="B54"/>
      <c r="C54"/>
    </row>
    <row r="55" spans="1:4" x14ac:dyDescent="0.3">
      <c r="B55"/>
      <c r="C55"/>
    </row>
    <row r="56" spans="1:4" x14ac:dyDescent="0.3">
      <c r="B56"/>
      <c r="C56"/>
    </row>
    <row r="57" spans="1:4" x14ac:dyDescent="0.3">
      <c r="B57"/>
      <c r="C57"/>
    </row>
    <row r="58" spans="1:4" x14ac:dyDescent="0.3">
      <c r="B58"/>
      <c r="C58"/>
    </row>
    <row r="59" spans="1:4" x14ac:dyDescent="0.3">
      <c r="A59" s="4" t="s">
        <v>45</v>
      </c>
      <c r="B59" s="4" t="s">
        <v>44</v>
      </c>
      <c r="C59"/>
      <c r="D59"/>
    </row>
    <row r="60" spans="1:4" x14ac:dyDescent="0.3">
      <c r="A60" s="4" t="s">
        <v>41</v>
      </c>
      <c r="B60" t="s">
        <v>18</v>
      </c>
      <c r="C60" t="s">
        <v>15</v>
      </c>
      <c r="D60" t="s">
        <v>42</v>
      </c>
    </row>
    <row r="61" spans="1:4" x14ac:dyDescent="0.3">
      <c r="A61" s="5">
        <v>25</v>
      </c>
      <c r="B61" s="9"/>
      <c r="C61" s="9">
        <v>1</v>
      </c>
      <c r="D61" s="9">
        <v>1</v>
      </c>
    </row>
    <row r="62" spans="1:4" x14ac:dyDescent="0.3">
      <c r="A62" s="5">
        <v>30</v>
      </c>
      <c r="B62" s="9">
        <v>2</v>
      </c>
      <c r="C62" s="9"/>
      <c r="D62" s="9">
        <v>2</v>
      </c>
    </row>
    <row r="63" spans="1:4" x14ac:dyDescent="0.3">
      <c r="A63" s="5">
        <v>32</v>
      </c>
      <c r="B63" s="9">
        <v>3</v>
      </c>
      <c r="C63" s="9">
        <v>3</v>
      </c>
      <c r="D63" s="9">
        <v>6</v>
      </c>
    </row>
    <row r="64" spans="1:4" x14ac:dyDescent="0.3">
      <c r="A64" s="5">
        <v>33</v>
      </c>
      <c r="B64" s="9">
        <v>1</v>
      </c>
      <c r="C64" s="9">
        <v>2</v>
      </c>
      <c r="D64" s="9">
        <v>3</v>
      </c>
    </row>
    <row r="65" spans="1:4" x14ac:dyDescent="0.3">
      <c r="A65" s="5">
        <v>34</v>
      </c>
      <c r="B65" s="9">
        <v>1</v>
      </c>
      <c r="C65" s="9"/>
      <c r="D65" s="9">
        <v>1</v>
      </c>
    </row>
    <row r="66" spans="1:4" x14ac:dyDescent="0.3">
      <c r="A66" s="5">
        <v>35</v>
      </c>
      <c r="B66" s="9">
        <v>1</v>
      </c>
      <c r="C66" s="9">
        <v>5</v>
      </c>
      <c r="D66" s="9">
        <v>6</v>
      </c>
    </row>
    <row r="67" spans="1:4" x14ac:dyDescent="0.3">
      <c r="A67" s="5">
        <v>36</v>
      </c>
      <c r="B67" s="9"/>
      <c r="C67" s="9">
        <v>3</v>
      </c>
      <c r="D67" s="9">
        <v>3</v>
      </c>
    </row>
    <row r="68" spans="1:4" x14ac:dyDescent="0.3">
      <c r="A68" s="5">
        <v>37</v>
      </c>
      <c r="B68" s="9">
        <v>1</v>
      </c>
      <c r="C68" s="9">
        <v>8</v>
      </c>
      <c r="D68" s="9">
        <v>9</v>
      </c>
    </row>
    <row r="69" spans="1:4" x14ac:dyDescent="0.3">
      <c r="A69" s="5">
        <v>38</v>
      </c>
      <c r="B69" s="9">
        <v>1</v>
      </c>
      <c r="C69" s="9">
        <v>6</v>
      </c>
      <c r="D69" s="9">
        <v>7</v>
      </c>
    </row>
    <row r="70" spans="1:4" x14ac:dyDescent="0.3">
      <c r="A70" s="5">
        <v>39</v>
      </c>
      <c r="B70" s="9">
        <v>2</v>
      </c>
      <c r="C70" s="9">
        <v>1</v>
      </c>
      <c r="D70" s="9">
        <v>3</v>
      </c>
    </row>
    <row r="71" spans="1:4" x14ac:dyDescent="0.3">
      <c r="A71" s="5">
        <v>40</v>
      </c>
      <c r="B71" s="9">
        <v>3</v>
      </c>
      <c r="C71" s="9">
        <v>6</v>
      </c>
      <c r="D71" s="9">
        <v>9</v>
      </c>
    </row>
    <row r="72" spans="1:4" x14ac:dyDescent="0.3">
      <c r="A72" s="5">
        <v>41</v>
      </c>
      <c r="B72" s="9">
        <v>2</v>
      </c>
      <c r="C72" s="9">
        <v>2</v>
      </c>
      <c r="D72" s="9">
        <v>4</v>
      </c>
    </row>
    <row r="73" spans="1:4" x14ac:dyDescent="0.3">
      <c r="A73" s="5">
        <v>42</v>
      </c>
      <c r="B73" s="9">
        <v>6</v>
      </c>
      <c r="C73" s="9">
        <v>2</v>
      </c>
      <c r="D73" s="9">
        <v>8</v>
      </c>
    </row>
    <row r="74" spans="1:4" x14ac:dyDescent="0.3">
      <c r="A74" s="5">
        <v>43</v>
      </c>
      <c r="B74" s="9">
        <v>5</v>
      </c>
      <c r="C74" s="9">
        <v>5</v>
      </c>
      <c r="D74" s="9">
        <v>10</v>
      </c>
    </row>
    <row r="75" spans="1:4" x14ac:dyDescent="0.3">
      <c r="A75" s="5">
        <v>44</v>
      </c>
      <c r="B75" s="9">
        <v>2</v>
      </c>
      <c r="C75" s="9">
        <v>2</v>
      </c>
      <c r="D75" s="9">
        <v>4</v>
      </c>
    </row>
    <row r="76" spans="1:4" x14ac:dyDescent="0.3">
      <c r="A76" s="5">
        <v>45</v>
      </c>
      <c r="B76" s="9">
        <v>3</v>
      </c>
      <c r="C76" s="9">
        <v>1</v>
      </c>
      <c r="D76" s="9">
        <v>4</v>
      </c>
    </row>
    <row r="77" spans="1:4" x14ac:dyDescent="0.3">
      <c r="A77" s="5">
        <v>46</v>
      </c>
      <c r="B77" s="9">
        <v>1</v>
      </c>
      <c r="C77" s="9">
        <v>2</v>
      </c>
      <c r="D77" s="9">
        <v>3</v>
      </c>
    </row>
    <row r="78" spans="1:4" x14ac:dyDescent="0.3">
      <c r="A78" s="5">
        <v>47</v>
      </c>
      <c r="B78" s="9">
        <v>2</v>
      </c>
      <c r="C78" s="9">
        <v>3</v>
      </c>
      <c r="D78" s="9">
        <v>5</v>
      </c>
    </row>
    <row r="79" spans="1:4" x14ac:dyDescent="0.3">
      <c r="A79" s="5">
        <v>48</v>
      </c>
      <c r="B79" s="9">
        <v>2</v>
      </c>
      <c r="C79" s="9">
        <v>1</v>
      </c>
      <c r="D79" s="9">
        <v>3</v>
      </c>
    </row>
    <row r="80" spans="1:4" x14ac:dyDescent="0.3">
      <c r="A80" s="5">
        <v>49</v>
      </c>
      <c r="B80" s="9">
        <v>2</v>
      </c>
      <c r="C80" s="9"/>
      <c r="D80" s="9">
        <v>2</v>
      </c>
    </row>
    <row r="81" spans="1:4" x14ac:dyDescent="0.3">
      <c r="A81" s="5">
        <v>50</v>
      </c>
      <c r="B81" s="9">
        <v>1</v>
      </c>
      <c r="C81" s="9">
        <v>3</v>
      </c>
      <c r="D81" s="9">
        <v>4</v>
      </c>
    </row>
    <row r="82" spans="1:4" x14ac:dyDescent="0.3">
      <c r="A82" s="5">
        <v>51</v>
      </c>
      <c r="B82" s="9">
        <v>2</v>
      </c>
      <c r="C82" s="9">
        <v>4</v>
      </c>
      <c r="D82" s="9">
        <v>6</v>
      </c>
    </row>
    <row r="83" spans="1:4" x14ac:dyDescent="0.3">
      <c r="A83" s="5">
        <v>52</v>
      </c>
      <c r="B83" s="9">
        <v>3</v>
      </c>
      <c r="C83" s="9">
        <v>1</v>
      </c>
      <c r="D83" s="9">
        <v>4</v>
      </c>
    </row>
    <row r="84" spans="1:4" x14ac:dyDescent="0.3">
      <c r="A84" s="5">
        <v>53</v>
      </c>
      <c r="B84" s="9">
        <v>2</v>
      </c>
      <c r="C84" s="9">
        <v>1</v>
      </c>
      <c r="D84" s="9">
        <v>3</v>
      </c>
    </row>
    <row r="85" spans="1:4" x14ac:dyDescent="0.3">
      <c r="A85" s="5">
        <v>54</v>
      </c>
      <c r="B85" s="9">
        <v>2</v>
      </c>
      <c r="C85" s="9">
        <v>1</v>
      </c>
      <c r="D85" s="9">
        <v>3</v>
      </c>
    </row>
    <row r="86" spans="1:4" x14ac:dyDescent="0.3">
      <c r="A86" s="5">
        <v>55</v>
      </c>
      <c r="B86" s="9">
        <v>2</v>
      </c>
      <c r="C86" s="9">
        <v>1</v>
      </c>
      <c r="D86" s="9">
        <v>3</v>
      </c>
    </row>
    <row r="87" spans="1:4" x14ac:dyDescent="0.3">
      <c r="A87" s="5">
        <v>56</v>
      </c>
      <c r="B87" s="9">
        <v>2</v>
      </c>
      <c r="C87" s="9">
        <v>1</v>
      </c>
      <c r="D87" s="9">
        <v>3</v>
      </c>
    </row>
    <row r="88" spans="1:4" x14ac:dyDescent="0.3">
      <c r="A88" s="5">
        <v>58</v>
      </c>
      <c r="B88" s="9">
        <v>2</v>
      </c>
      <c r="C88" s="9">
        <v>1</v>
      </c>
      <c r="D88" s="9">
        <v>3</v>
      </c>
    </row>
    <row r="89" spans="1:4" x14ac:dyDescent="0.3">
      <c r="A89" s="5">
        <v>59</v>
      </c>
      <c r="B89" s="9">
        <v>3</v>
      </c>
      <c r="C89" s="9">
        <v>1</v>
      </c>
      <c r="D89" s="9">
        <v>4</v>
      </c>
    </row>
    <row r="90" spans="1:4" x14ac:dyDescent="0.3">
      <c r="A90" s="5">
        <v>60</v>
      </c>
      <c r="B90" s="9">
        <v>1</v>
      </c>
      <c r="C90" s="9"/>
      <c r="D90" s="9">
        <v>1</v>
      </c>
    </row>
    <row r="91" spans="1:4" x14ac:dyDescent="0.3">
      <c r="A91" s="5">
        <v>61</v>
      </c>
      <c r="B91" s="9">
        <v>1</v>
      </c>
      <c r="C91" s="9">
        <v>2</v>
      </c>
      <c r="D91" s="9">
        <v>3</v>
      </c>
    </row>
    <row r="92" spans="1:4" x14ac:dyDescent="0.3">
      <c r="A92" s="5">
        <v>62</v>
      </c>
      <c r="B92" s="9">
        <v>2</v>
      </c>
      <c r="C92" s="9"/>
      <c r="D92" s="9">
        <v>2</v>
      </c>
    </row>
    <row r="93" spans="1:4" x14ac:dyDescent="0.3">
      <c r="A93" s="5">
        <v>63</v>
      </c>
      <c r="B93" s="9">
        <v>1</v>
      </c>
      <c r="C93" s="9"/>
      <c r="D93" s="9">
        <v>1</v>
      </c>
    </row>
    <row r="94" spans="1:4" x14ac:dyDescent="0.3">
      <c r="A94" s="5">
        <v>64</v>
      </c>
      <c r="B94" s="9">
        <v>1</v>
      </c>
      <c r="C94" s="9">
        <v>1</v>
      </c>
      <c r="D94" s="9">
        <v>2</v>
      </c>
    </row>
    <row r="95" spans="1:4" x14ac:dyDescent="0.3">
      <c r="A95" s="5">
        <v>65</v>
      </c>
      <c r="B95" s="9">
        <v>3</v>
      </c>
      <c r="C95" s="9">
        <v>1</v>
      </c>
      <c r="D95" s="9">
        <v>4</v>
      </c>
    </row>
    <row r="96" spans="1:4" x14ac:dyDescent="0.3">
      <c r="A96" s="5">
        <v>66</v>
      </c>
      <c r="B96" s="9">
        <v>2</v>
      </c>
      <c r="C96" s="9">
        <v>1</v>
      </c>
      <c r="D96" s="9">
        <v>3</v>
      </c>
    </row>
    <row r="97" spans="1:4" x14ac:dyDescent="0.3">
      <c r="A97" s="5">
        <v>70</v>
      </c>
      <c r="B97" s="9">
        <v>1</v>
      </c>
      <c r="C97" s="9">
        <v>1</v>
      </c>
      <c r="D97" s="9">
        <v>2</v>
      </c>
    </row>
    <row r="98" spans="1:4" x14ac:dyDescent="0.3">
      <c r="A98" s="5">
        <v>80</v>
      </c>
      <c r="B98" s="9">
        <v>1</v>
      </c>
      <c r="C98" s="9"/>
      <c r="D98" s="9">
        <v>1</v>
      </c>
    </row>
    <row r="99" spans="1:4" x14ac:dyDescent="0.3">
      <c r="A99" s="5">
        <v>89</v>
      </c>
      <c r="B99" s="9">
        <v>1</v>
      </c>
      <c r="C99" s="9"/>
      <c r="D99" s="9">
        <v>1</v>
      </c>
    </row>
    <row r="100" spans="1:4" x14ac:dyDescent="0.3">
      <c r="A100" s="5" t="s">
        <v>42</v>
      </c>
      <c r="B100" s="9">
        <v>73</v>
      </c>
      <c r="C100" s="9">
        <v>73</v>
      </c>
      <c r="D100" s="9">
        <v>146</v>
      </c>
    </row>
    <row r="101" spans="1:4" x14ac:dyDescent="0.3">
      <c r="B101"/>
      <c r="C101"/>
      <c r="D101"/>
    </row>
    <row r="102" spans="1:4" x14ac:dyDescent="0.3">
      <c r="B102"/>
      <c r="C102"/>
      <c r="D102"/>
    </row>
    <row r="103" spans="1:4" x14ac:dyDescent="0.3">
      <c r="B103"/>
      <c r="C103"/>
      <c r="D103"/>
    </row>
    <row r="104" spans="1:4" x14ac:dyDescent="0.3">
      <c r="B104"/>
      <c r="C104"/>
      <c r="D104"/>
    </row>
    <row r="105" spans="1:4" x14ac:dyDescent="0.3">
      <c r="B105"/>
      <c r="C105"/>
      <c r="D105"/>
    </row>
    <row r="106" spans="1:4" x14ac:dyDescent="0.3">
      <c r="B106"/>
      <c r="C106"/>
      <c r="D106"/>
    </row>
    <row r="107" spans="1:4" x14ac:dyDescent="0.3">
      <c r="B107"/>
      <c r="C107"/>
      <c r="D107"/>
    </row>
    <row r="108" spans="1:4" x14ac:dyDescent="0.3">
      <c r="B108"/>
      <c r="C108"/>
      <c r="D108"/>
    </row>
    <row r="109" spans="1:4" x14ac:dyDescent="0.3">
      <c r="B109"/>
      <c r="C109"/>
      <c r="D109"/>
    </row>
    <row r="110" spans="1:4" x14ac:dyDescent="0.3">
      <c r="B110"/>
      <c r="C110"/>
      <c r="D110"/>
    </row>
    <row r="111" spans="1:4" x14ac:dyDescent="0.3">
      <c r="B111"/>
      <c r="C111"/>
      <c r="D111"/>
    </row>
    <row r="112" spans="1:4" x14ac:dyDescent="0.3">
      <c r="B112"/>
      <c r="C112"/>
      <c r="D112"/>
    </row>
    <row r="113" spans="2:4" x14ac:dyDescent="0.3">
      <c r="B113"/>
      <c r="C113"/>
      <c r="D113"/>
    </row>
    <row r="114" spans="2:4" x14ac:dyDescent="0.3">
      <c r="B114"/>
      <c r="C114"/>
      <c r="D114"/>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8572-6001-4BC8-AC46-E438DB382F39}">
  <dimension ref="A1:O4"/>
  <sheetViews>
    <sheetView showGridLines="0" tabSelected="1" zoomScale="71" zoomScaleNormal="86" workbookViewId="0">
      <selection activeCell="R16" sqref="R16"/>
    </sheetView>
  </sheetViews>
  <sheetFormatPr defaultRowHeight="14.4" x14ac:dyDescent="0.3"/>
  <sheetData>
    <row r="1" spans="1:15" x14ac:dyDescent="0.3">
      <c r="A1" s="10" t="s">
        <v>50</v>
      </c>
      <c r="B1" s="11"/>
      <c r="C1" s="11"/>
      <c r="D1" s="11"/>
      <c r="E1" s="11"/>
      <c r="F1" s="11"/>
      <c r="G1" s="11"/>
      <c r="H1" s="11"/>
      <c r="I1" s="11"/>
      <c r="J1" s="11"/>
      <c r="K1" s="11"/>
      <c r="L1" s="11"/>
      <c r="M1" s="11"/>
      <c r="N1" s="11"/>
      <c r="O1" s="11"/>
    </row>
    <row r="2" spans="1:15" x14ac:dyDescent="0.3">
      <c r="A2" s="11"/>
      <c r="B2" s="11"/>
      <c r="C2" s="11"/>
      <c r="D2" s="11"/>
      <c r="E2" s="11"/>
      <c r="F2" s="11"/>
      <c r="G2" s="11"/>
      <c r="H2" s="11"/>
      <c r="I2" s="11"/>
      <c r="J2" s="11"/>
      <c r="K2" s="11"/>
      <c r="L2" s="11"/>
      <c r="M2" s="11"/>
      <c r="N2" s="11"/>
      <c r="O2" s="11"/>
    </row>
    <row r="3" spans="1:15" x14ac:dyDescent="0.3">
      <c r="A3" s="11"/>
      <c r="B3" s="11"/>
      <c r="C3" s="11"/>
      <c r="D3" s="11"/>
      <c r="E3" s="11"/>
      <c r="F3" s="11"/>
      <c r="G3" s="11"/>
      <c r="H3" s="11"/>
      <c r="I3" s="11"/>
      <c r="J3" s="11"/>
      <c r="K3" s="11"/>
      <c r="L3" s="11"/>
      <c r="M3" s="11"/>
      <c r="N3" s="11"/>
      <c r="O3" s="11"/>
    </row>
    <row r="4" spans="1:15" x14ac:dyDescent="0.3">
      <c r="A4" s="11"/>
      <c r="B4" s="11"/>
      <c r="C4" s="11"/>
      <c r="D4" s="11"/>
      <c r="E4" s="11"/>
      <c r="F4" s="11"/>
      <c r="G4" s="11"/>
      <c r="H4" s="11"/>
      <c r="I4" s="11"/>
      <c r="J4" s="11"/>
      <c r="K4" s="11"/>
      <c r="L4" s="11"/>
      <c r="M4" s="11"/>
      <c r="N4" s="11"/>
      <c r="O4" s="11"/>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Krushnali</dc:creator>
  <cp:lastModifiedBy>Krushnali Patil</cp:lastModifiedBy>
  <cp:lastPrinted>2026-06-09T08:07:41Z</cp:lastPrinted>
  <dcterms:created xsi:type="dcterms:W3CDTF">2022-03-18T02:50:57Z</dcterms:created>
  <dcterms:modified xsi:type="dcterms:W3CDTF">2026-06-09T09:10:14Z</dcterms:modified>
</cp:coreProperties>
</file>